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ubh\Downloads\To be copied\MPC-Shrink\Approach 2\Shrinking_Horizon\code\"/>
    </mc:Choice>
  </mc:AlternateContent>
  <xr:revisionPtr revIDLastSave="0" documentId="13_ncr:1_{340BE0A5-44D8-4314-A602-BB0FE3369E16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Worked Example" sheetId="1" r:id="rId1"/>
    <sheet name="Explan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3" i="1" l="1"/>
  <c r="F22" i="1"/>
  <c r="R8" i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F27" i="1" s="1"/>
  <c r="Q8" i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F25" i="1" s="1"/>
  <c r="J8" i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F26" i="1" s="1"/>
  <c r="I8" i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F24" i="1" s="1"/>
</calcChain>
</file>

<file path=xl/sharedStrings.xml><?xml version="1.0" encoding="utf-8"?>
<sst xmlns="http://schemas.openxmlformats.org/spreadsheetml/2006/main" count="179" uniqueCount="98">
  <si>
    <t>Worked Example: A1 vs A2 decisions, interval by interval, with reasoning</t>
  </si>
  <si>
    <t>Illustrative numbers, constructed to be consistent with the real mechanism verified in the actual model code and run data (see Explanation tab). Battery caps: MCS = 20 kWh (starts at 14.0), CEV = 10 kWh (starts at 4.0). True (:low mode) CEV digging draw = steady 2 kW. A1's planning belief is frozen at 5 kW forever. A2 resamples 5 scenarios (low→high) fresh every window. Full cycle shown: CEV digs → MCS travels to grid → MCS charges → MCS travels to CEV → MCS discharges to CEV.</t>
  </si>
  <si>
    <t>A1 — Deterministic (one frozen forecast)</t>
  </si>
  <si>
    <t>A2 — Stochastic (5 scenarios every window)</t>
  </si>
  <si>
    <t>Interval</t>
  </si>
  <si>
    <t>Clock</t>
  </si>
  <si>
    <t>True CEV need (kW)</t>
  </si>
  <si>
    <t>Assumed CEV need (kW)</t>
  </si>
  <si>
    <t>Action – CEV</t>
  </si>
  <si>
    <t>Reasoning – CEV</t>
  </si>
  <si>
    <t>Action – MCS</t>
  </si>
  <si>
    <t>Reasoning – MCS</t>
  </si>
  <si>
    <t>MCS battery (kWh)</t>
  </si>
  <si>
    <t>CEV battery (kWh)</t>
  </si>
  <si>
    <t>A1 MCS net kW (helper)</t>
  </si>
  <si>
    <t>A1 CEV net kW (helper)</t>
  </si>
  <si>
    <t>A2 MCS net kW (helper)</t>
  </si>
  <si>
    <t>A2 CEV net kW (helper)</t>
  </si>
  <si>
    <t>08:00</t>
  </si>
  <si>
    <t>Digging (drawing 2 kW)</t>
  </si>
  <si>
    <t>Real physics — the CEV's own digging draw doesn't depend on either forecast. Both approaches see the identical true outcome here.</t>
  </si>
  <si>
    <t>None (MCS elsewhere)</t>
  </si>
  <si>
    <t>MCS is still traveling toward the grid — nothing to decide yet.</t>
  </si>
  <si>
    <t>[1,2,3,4,8]</t>
  </si>
  <si>
    <t>08:15</t>
  </si>
  <si>
    <t>Same as above.</t>
  </si>
  <si>
    <t>[1,2,3,5,7]</t>
  </si>
  <si>
    <t>08:30</t>
  </si>
  <si>
    <t>[2,2,3,4,8]</t>
  </si>
  <si>
    <t>08:45</t>
  </si>
  <si>
    <t>Idle (done digging)</t>
  </si>
  <si>
    <t>Digging finished; CEV just waits for its next task or its next charge.</t>
  </si>
  <si>
    <t>Traveling to grid</t>
  </si>
  <si>
    <t>MCS can only charge from the grid or discharge to the CEV while physically parked at the right node — it has to move first. Identical for both.</t>
  </si>
  <si>
    <t>[1,3,3,4,7]</t>
  </si>
  <si>
    <t>09:00</t>
  </si>
  <si>
    <t>Idle (waiting)</t>
  </si>
  <si>
    <t>Nothing changes for the CEV while the MCS is off charging itself.</t>
  </si>
  <si>
    <t>Charge 6.0 kW from grid</t>
  </si>
  <si>
    <t>A1's ONLY belief is ~5 kW of demand, indefinitely, with no other possibility to weigh against. There is zero cost to being aggressive — so the optimal move is to grab the cheap-price window as fast and fully as possible.</t>
  </si>
  <si>
    <t>[2,2,4,4,8]</t>
  </si>
  <si>
    <t>Charge 3.5 kW from grid</t>
  </si>
  <si>
    <t>A2 is weighing 5 different possible futures at once (e.g. 2,2,4,4,8). Charging as hard as A1 would waste money in the low-demand branches; charging too little risks the very expensive missed-work penalty in the high branch. 3.5 kW is the balance point across all 5.</t>
  </si>
  <si>
    <t>09:15</t>
  </si>
  <si>
    <t>Same reasoning as interval 5 — A1 re-solves fresh but its belief never changes.</t>
  </si>
  <si>
    <t>[1,2,3,4,6]</t>
  </si>
  <si>
    <t>Same reasoning as interval 5 — A2's fresh 5 scenarios again average to a moderate rate.</t>
  </si>
  <si>
    <t>09:30</t>
  </si>
  <si>
    <t>Same reasoning — still cheap, still only one forecast, still no reason to hold back.</t>
  </si>
  <si>
    <t>[2,3,3,5,7]</t>
  </si>
  <si>
    <t>Same reasoning — still hedging across a low-to-high spread.</t>
  </si>
  <si>
    <t>09:45</t>
  </si>
  <si>
    <t>Charge 6.0 kW — this interval fills the battery exactly to its 20 kWh ceiling.</t>
  </si>
  <si>
    <t>This is the 4th interval at 6.0 kW (14.0 + 4×1.5 = 20.0) — A1's aggressive rate means it physically runs out of room to store more, right here.</t>
  </si>
  <si>
    <t>[1,2,4,4,8]</t>
  </si>
  <si>
    <t>A2's gentler rate means its battery is nowhere near full yet (17.5 kWh) — it still has room and time to keep going steadily.</t>
  </si>
  <si>
    <t>10:00</t>
  </si>
  <si>
    <t>Charge 0 kW — battery already full</t>
  </si>
  <si>
    <t>A1 has nowhere left to put more energy, even though the cheap-price window is still open. This is the wasted opportunity that comes from having rushed to the ceiling.</t>
  </si>
  <si>
    <t>[2,2,3,4,7]</t>
  </si>
  <si>
    <t>A2 keeps benefiting from the still-cheap price, since it never maxed out early.</t>
  </si>
  <si>
    <t>10:15</t>
  </si>
  <si>
    <t>Digging for the day is done; CEV is just waiting to be topped up before its next task.</t>
  </si>
  <si>
    <t>Traveling to CEV site</t>
  </si>
  <si>
    <t>10:30</t>
  </si>
  <si>
    <t>Receiving charge from MCS</t>
  </si>
  <si>
    <t>Discharge rate is set by the CEV's own physical charge-acceptance limit, not by either forecast — both approaches behave identically here. The gap already happened during charging.</t>
  </si>
  <si>
    <t>Discharge 4.0 kW to CEV</t>
  </si>
  <si>
    <t>10:45</t>
  </si>
  <si>
    <t>11:00</t>
  </si>
  <si>
    <t>Charge topped up, idle</t>
  </si>
  <si>
    <t>CEV has enough margin for its next task; MCS stops discharging.</t>
  </si>
  <si>
    <t>Idle at site (done for this cycle)</t>
  </si>
  <si>
    <t>A1's larger banked reserve (it maxed out earlier) doesn't actually help here — the CEV can only accept energy at its own fixed rate regardless of how much the MCS has stored.</t>
  </si>
  <si>
    <t>A2 delivered the same service to the CEV using less banked reserve and a lower peak grid draw to get there.</t>
  </si>
  <si>
    <t>Peak A1 MCS charge rate (kW):</t>
  </si>
  <si>
    <t>Peak A2 MCS charge rate (kW):</t>
  </si>
  <si>
    <t>Final A1 MCS battery (kWh):</t>
  </si>
  <si>
    <t>Final A2 MCS battery (kWh):</t>
  </si>
  <si>
    <t>Final A1 CEV battery (kWh):</t>
  </si>
  <si>
    <t>Final A2 CEV battery (kWh):</t>
  </si>
  <si>
    <t>Why does A2 (stochastic MPC) end up with a lower peak grid demand charge than A1 (deterministic MPC)?</t>
  </si>
  <si>
    <t>1. It is not about total energy used</t>
  </si>
  <si>
    <t>Real run data (mode=:low, seed=7): A1 charged 23.14 kWh over the day, A2 charged 23.02 kWh — essentially identical. Total energy delivered to the CEV, and total energy drawn from the battery, were also nearly identical between the two approaches. Whatever explains the peak-demand gap, it is not "one approach wastes more energy than the other."</t>
  </si>
  <si>
    <t>2. It is not about the electricity price being uncertain</t>
  </si>
  <si>
    <t>Both A1 and A2 see the exact same, fully-known price schedule for the entire day. Neither is guessing about when the cheap window is. In the real run, the price dropped from $0.387/kWh to $0.261/kWh at 10:00, and both approaches were aware of this the whole time.</t>
  </si>
  <si>
    <t>3. It is not about routing or physical charge-rate limits</t>
  </si>
  <si>
    <t>Both A1 and A2 follow nearly identical physical routes: arrive at the grid node ~10:15-11:15, leave for the work site ~13:30, return to the grid ~18:45, and stay parked there for the rest of the day. The MCS's maximum physical charge rate (CH_MCS = 150 kW) is far above anything either approach actually uses (peaks of 1.9 kW and 1.7 kW respectively) — neither is hardware-constrained.</t>
  </si>
  <si>
    <t>4. It is not about limited lookahead</t>
  </si>
  <si>
    <t>Both approaches use a genuine shrinking horizon: K_win = k0:nKd in the code means every single re-solve, all day, sees all the way to the true end-of-day terminal requirement (the battery must end the day exactly full). Neither approach is "surprised" by the deadline — both see it clearly from minute one.</t>
  </si>
  <si>
    <t>5. The real mechanism: one certain forecast vs. five honest ones</t>
  </si>
  <si>
    <t>A1 re-solves the entire remaining day every 15 minutes, but always against ONE frozen number for future demand (the textbook mean, e.g. 5 kW) — this number is set once at the start of the day and never updates, no matter what actually happens. A2 re-solves against FIVE resampled scenarios every window, deliberately spanning low through high. Only the very next 15-minute action ever actually executes in either approach; the rest of each solve's plan is discarded and recomputed fresh next time.</t>
  </si>
  <si>
    <t>6. Why that makes A1 rush to the ceiling and A2 hold back</t>
  </si>
  <si>
    <t>Given full-day visibility and ONE certain demand number, A1's genuinely optimal move is to grab as much cheap energy as the battery can physically hold, as early as possible — there is no downside to being aggressive when there is only one imagined future. Real data confirms this: A1's battery hits exactly 250 kWh (full) by 11:00, hours before it is actually required. A2, at the same moment, is at 245.13 kWh — deliberately short of full. A2 cannot commit as hard to "fill up now," because that same aggressive move is a poor bet in several of its 5 scenarios (the low-demand branches), so its shared, honest, cross-scenario decision lands on a steadier, more moderate charge rate instead.</t>
  </si>
  <si>
    <t>7. Why a moderate rate produces a lower peak</t>
  </si>
  <si>
    <t>Racing toward a hard ceiling (the battery's maximum capacity) within a limited window mechanically requires a HIGHER rate than easing toward a lower, partial target. A1's rate (~1.9 kW, real run data) is consistently ~10-12% above A2's (~1.7 kW) everywhere both are actively charging, including a long, routing-identical overnight stretch where both have equal opportunity but choose different intensities. That persistent rate gap is exactly what shows up as A1's higher NCD_Peak (1.91 kW) vs. A2's lower one (1.71 kW) in the final KPI comparison.</t>
  </si>
  <si>
    <t>8. What is directly verified vs. illustrative in this workbook</t>
  </si>
  <si>
    <t>VERIFIED from the actual run's output files: total energy charged (23.14 / 23.02 kWh), the SOE trajectory showing A1 full at row 22 while A2 is at 245.13, the identical MCS routing/location trace, the price schedule and its exact 10:00 drop, the K_win=k0:nKd shrinking-horizon code, and the final NCD_Peak KPI values (1.91 / 1.71 kW). ILLUSTRATIVE (constructed for teaching purposes, not from a real solve): the exact numbers on the Worked Example tab — battery size, specific kW values, the 5 scenario draws shown per window. These are built to be internally consistent with the verified mechanism above, not extracted from an actual solver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</si>
</sst>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color rgb="FF1F4E78"/>
      <name val="Arial"/>
      <charset val="1"/>
    </font>
    <font>
      <b/>
      <sz val="10"/>
      <name val="Arial"/>
      <charset val="1"/>
    </font>
    <font>
      <b/>
      <sz val="11"/>
      <color rgb="FF305496"/>
      <name val="Arial"/>
      <charset val="1"/>
    </font>
    <font>
      <b/>
      <sz val="11"/>
      <color rgb="FF9C0006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C0504D"/>
        <bgColor rgb="FF993366"/>
      </patternFill>
    </fill>
    <fill>
      <patternFill patternType="solid">
        <fgColor rgb="FF4F8A3D"/>
        <bgColor rgb="FF666666"/>
      </patternFill>
    </fill>
    <fill>
      <patternFill patternType="solid">
        <fgColor rgb="FF305496"/>
        <bgColor rgb="FF1F4E78"/>
      </patternFill>
    </fill>
    <fill>
      <patternFill patternType="solid">
        <fgColor rgb="FFFDEEEB"/>
        <bgColor rgb="FFFCE4D6"/>
      </patternFill>
    </fill>
    <fill>
      <patternFill patternType="solid">
        <fgColor rgb="FFFCE4D6"/>
        <bgColor rgb="FFFDEEEB"/>
      </patternFill>
    </fill>
    <fill>
      <patternFill patternType="solid">
        <fgColor rgb="FFEAF4E4"/>
        <bgColor rgb="FFFDEEEB"/>
      </patternFill>
    </fill>
    <fill>
      <patternFill patternType="solid">
        <fgColor rgb="FFD9EAD3"/>
        <bgColor rgb="FFEAF4E4"/>
      </patternFill>
    </fill>
    <fill>
      <patternFill patternType="solid">
        <fgColor rgb="FFFFF2CC"/>
        <bgColor rgb="FFFDEE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2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7" fillId="0" borderId="0" xfId="0" applyFont="1"/>
    <xf numFmtId="2" fontId="7" fillId="9" borderId="0" xfId="0" applyNumberFormat="1" applyFont="1" applyFill="1"/>
    <xf numFmtId="0" fontId="1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EAF4E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DEEEB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8"/>
      <rgbColor rgb="FF4F8A3D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"/>
  <sheetViews>
    <sheetView showGridLines="0" tabSelected="1" topLeftCell="J12" zoomScaleNormal="100" workbookViewId="0">
      <selection activeCell="S17" sqref="S17"/>
    </sheetView>
  </sheetViews>
  <sheetFormatPr defaultColWidth="8.6640625" defaultRowHeight="14.25" x14ac:dyDescent="0.45"/>
  <cols>
    <col min="1" max="1" width="27.9296875" bestFit="1" customWidth="1"/>
    <col min="2" max="2" width="5.73046875" bestFit="1" customWidth="1"/>
    <col min="3" max="3" width="5" bestFit="1" customWidth="1"/>
    <col min="4" max="4" width="9.265625" bestFit="1" customWidth="1"/>
    <col min="5" max="5" width="19.86328125" bestFit="1" customWidth="1"/>
    <col min="6" max="6" width="49.1328125" bestFit="1" customWidth="1"/>
    <col min="7" max="7" width="24.06640625" bestFit="1" customWidth="1"/>
    <col min="8" max="8" width="33.73046875" customWidth="1"/>
    <col min="9" max="10" width="6.796875" bestFit="1" customWidth="1"/>
    <col min="11" max="11" width="5" bestFit="1" customWidth="1"/>
    <col min="12" max="12" width="9.265625" bestFit="1" customWidth="1"/>
    <col min="13" max="13" width="19.86328125" bestFit="1" customWidth="1"/>
    <col min="14" max="14" width="49.1328125" bestFit="1" customWidth="1"/>
    <col min="15" max="15" width="19.6640625" bestFit="1" customWidth="1"/>
    <col min="16" max="16" width="39.46484375" customWidth="1"/>
    <col min="17" max="18" width="6.796875" bestFit="1" customWidth="1"/>
    <col min="21" max="21" width="18.796875" bestFit="1" customWidth="1"/>
    <col min="22" max="22" width="18.53125" bestFit="1" customWidth="1"/>
    <col min="23" max="23" width="18.796875" bestFit="1" customWidth="1"/>
    <col min="24" max="24" width="18.53125" bestFit="1" customWidth="1"/>
  </cols>
  <sheetData>
    <row r="1" spans="1:24" ht="19.5" customHeight="1" x14ac:dyDescent="0.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4" ht="15" customHeight="1" x14ac:dyDescent="0.4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24" ht="15" customHeight="1" x14ac:dyDescent="0.4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4" ht="15" customHeight="1" x14ac:dyDescent="0.4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6" spans="1:24" ht="18" customHeight="1" x14ac:dyDescent="0.45">
      <c r="C6" s="2" t="s">
        <v>2</v>
      </c>
      <c r="D6" s="2"/>
      <c r="E6" s="2"/>
      <c r="F6" s="2"/>
      <c r="G6" s="2"/>
      <c r="H6" s="2"/>
      <c r="I6" s="2"/>
      <c r="J6" s="2"/>
      <c r="K6" s="1" t="s">
        <v>3</v>
      </c>
      <c r="L6" s="1"/>
      <c r="M6" s="1"/>
      <c r="N6" s="1"/>
      <c r="O6" s="1"/>
      <c r="P6" s="1"/>
      <c r="Q6" s="1"/>
      <c r="R6" s="1"/>
    </row>
    <row r="7" spans="1:24" ht="52.5" x14ac:dyDescent="0.4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6</v>
      </c>
      <c r="L7" s="5" t="s">
        <v>7</v>
      </c>
      <c r="M7" s="5" t="s">
        <v>8</v>
      </c>
      <c r="N7" s="5" t="s">
        <v>9</v>
      </c>
      <c r="O7" s="5" t="s">
        <v>10</v>
      </c>
      <c r="P7" s="5" t="s">
        <v>11</v>
      </c>
      <c r="Q7" s="5" t="s">
        <v>12</v>
      </c>
      <c r="R7" s="5" t="s">
        <v>13</v>
      </c>
      <c r="U7" s="6" t="s">
        <v>14</v>
      </c>
      <c r="V7" s="6" t="s">
        <v>15</v>
      </c>
      <c r="W7" s="6" t="s">
        <v>16</v>
      </c>
      <c r="X7" s="6" t="s">
        <v>17</v>
      </c>
    </row>
    <row r="8" spans="1:24" ht="45.75" customHeight="1" x14ac:dyDescent="0.45">
      <c r="A8" s="7">
        <v>1</v>
      </c>
      <c r="B8" s="7" t="s">
        <v>18</v>
      </c>
      <c r="C8" s="7">
        <v>2</v>
      </c>
      <c r="D8" s="7">
        <v>5</v>
      </c>
      <c r="E8" s="8" t="s">
        <v>19</v>
      </c>
      <c r="F8" s="9" t="s">
        <v>20</v>
      </c>
      <c r="G8" s="10" t="s">
        <v>21</v>
      </c>
      <c r="H8" s="9" t="s">
        <v>22</v>
      </c>
      <c r="I8" s="11">
        <f>14+U8*0.25</f>
        <v>14</v>
      </c>
      <c r="J8" s="11">
        <f>4+V8*0.25</f>
        <v>3.5</v>
      </c>
      <c r="K8" s="7">
        <v>2</v>
      </c>
      <c r="L8" s="7" t="s">
        <v>23</v>
      </c>
      <c r="M8" s="8" t="s">
        <v>19</v>
      </c>
      <c r="N8" s="12" t="s">
        <v>20</v>
      </c>
      <c r="O8" s="13" t="s">
        <v>21</v>
      </c>
      <c r="P8" s="12" t="s">
        <v>22</v>
      </c>
      <c r="Q8" s="11">
        <f>14+W8*0.25</f>
        <v>14</v>
      </c>
      <c r="R8" s="11">
        <f>4+X8*0.25</f>
        <v>3.5</v>
      </c>
      <c r="U8">
        <v>0</v>
      </c>
      <c r="V8">
        <v>-2</v>
      </c>
      <c r="W8">
        <v>0</v>
      </c>
      <c r="X8">
        <v>-2</v>
      </c>
    </row>
    <row r="9" spans="1:24" ht="45.75" customHeight="1" x14ac:dyDescent="0.45">
      <c r="A9" s="7">
        <v>2</v>
      </c>
      <c r="B9" s="7" t="s">
        <v>24</v>
      </c>
      <c r="C9" s="7">
        <v>2</v>
      </c>
      <c r="D9" s="7">
        <v>5</v>
      </c>
      <c r="E9" s="8" t="s">
        <v>19</v>
      </c>
      <c r="F9" s="9" t="s">
        <v>20</v>
      </c>
      <c r="G9" s="10" t="s">
        <v>21</v>
      </c>
      <c r="H9" s="9" t="s">
        <v>25</v>
      </c>
      <c r="I9" s="11">
        <f t="shared" ref="I9:I20" si="0">I8+U9*0.25</f>
        <v>14</v>
      </c>
      <c r="J9" s="11">
        <f t="shared" ref="J9:J20" si="1">J8+V9*0.25</f>
        <v>3</v>
      </c>
      <c r="K9" s="7">
        <v>2</v>
      </c>
      <c r="L9" s="7" t="s">
        <v>26</v>
      </c>
      <c r="M9" s="8" t="s">
        <v>19</v>
      </c>
      <c r="N9" s="12" t="s">
        <v>20</v>
      </c>
      <c r="O9" s="13" t="s">
        <v>21</v>
      </c>
      <c r="P9" s="12" t="s">
        <v>25</v>
      </c>
      <c r="Q9" s="11">
        <f t="shared" ref="Q9:Q20" si="2">Q8+W9*0.25</f>
        <v>14</v>
      </c>
      <c r="R9" s="11">
        <f t="shared" ref="R9:R20" si="3">R8+X9*0.25</f>
        <v>3</v>
      </c>
      <c r="U9">
        <v>0</v>
      </c>
      <c r="V9">
        <v>-2</v>
      </c>
      <c r="W9">
        <v>0</v>
      </c>
      <c r="X9">
        <v>-2</v>
      </c>
    </row>
    <row r="10" spans="1:24" ht="45.75" customHeight="1" x14ac:dyDescent="0.45">
      <c r="A10" s="7">
        <v>3</v>
      </c>
      <c r="B10" s="7" t="s">
        <v>27</v>
      </c>
      <c r="C10" s="7">
        <v>2</v>
      </c>
      <c r="D10" s="7">
        <v>5</v>
      </c>
      <c r="E10" s="8" t="s">
        <v>19</v>
      </c>
      <c r="F10" s="9" t="s">
        <v>20</v>
      </c>
      <c r="G10" s="10" t="s">
        <v>21</v>
      </c>
      <c r="H10" s="9" t="s">
        <v>25</v>
      </c>
      <c r="I10" s="11">
        <f t="shared" si="0"/>
        <v>14</v>
      </c>
      <c r="J10" s="11">
        <f t="shared" si="1"/>
        <v>2.5</v>
      </c>
      <c r="K10" s="7">
        <v>2</v>
      </c>
      <c r="L10" s="7" t="s">
        <v>28</v>
      </c>
      <c r="M10" s="8" t="s">
        <v>19</v>
      </c>
      <c r="N10" s="12" t="s">
        <v>20</v>
      </c>
      <c r="O10" s="13" t="s">
        <v>21</v>
      </c>
      <c r="P10" s="12" t="s">
        <v>25</v>
      </c>
      <c r="Q10" s="11">
        <f t="shared" si="2"/>
        <v>14</v>
      </c>
      <c r="R10" s="11">
        <f t="shared" si="3"/>
        <v>2.5</v>
      </c>
      <c r="U10">
        <v>0</v>
      </c>
      <c r="V10">
        <v>-2</v>
      </c>
      <c r="W10">
        <v>0</v>
      </c>
      <c r="X10">
        <v>-2</v>
      </c>
    </row>
    <row r="11" spans="1:24" ht="45.75" customHeight="1" x14ac:dyDescent="0.45">
      <c r="A11" s="7">
        <v>4</v>
      </c>
      <c r="B11" s="7" t="s">
        <v>29</v>
      </c>
      <c r="C11" s="7">
        <v>0</v>
      </c>
      <c r="D11" s="7">
        <v>5</v>
      </c>
      <c r="E11" s="8" t="s">
        <v>30</v>
      </c>
      <c r="F11" s="9" t="s">
        <v>31</v>
      </c>
      <c r="G11" s="10" t="s">
        <v>32</v>
      </c>
      <c r="H11" s="9" t="s">
        <v>33</v>
      </c>
      <c r="I11" s="11">
        <f t="shared" si="0"/>
        <v>14</v>
      </c>
      <c r="J11" s="11">
        <f t="shared" si="1"/>
        <v>2.5</v>
      </c>
      <c r="K11" s="7">
        <v>0</v>
      </c>
      <c r="L11" s="7" t="s">
        <v>34</v>
      </c>
      <c r="M11" s="8" t="s">
        <v>30</v>
      </c>
      <c r="N11" s="12" t="s">
        <v>31</v>
      </c>
      <c r="O11" s="13" t="s">
        <v>32</v>
      </c>
      <c r="P11" s="12" t="s">
        <v>33</v>
      </c>
      <c r="Q11" s="11">
        <f t="shared" si="2"/>
        <v>14</v>
      </c>
      <c r="R11" s="11">
        <f t="shared" si="3"/>
        <v>2.5</v>
      </c>
      <c r="U11">
        <v>0</v>
      </c>
      <c r="V11">
        <v>0</v>
      </c>
      <c r="W11">
        <v>0</v>
      </c>
      <c r="X11">
        <v>0</v>
      </c>
    </row>
    <row r="12" spans="1:24" ht="45.75" customHeight="1" x14ac:dyDescent="0.45">
      <c r="A12" s="7">
        <v>5</v>
      </c>
      <c r="B12" s="7" t="s">
        <v>35</v>
      </c>
      <c r="C12" s="7">
        <v>0</v>
      </c>
      <c r="D12" s="7">
        <v>5</v>
      </c>
      <c r="E12" s="8" t="s">
        <v>36</v>
      </c>
      <c r="F12" s="9" t="s">
        <v>37</v>
      </c>
      <c r="G12" s="10" t="s">
        <v>38</v>
      </c>
      <c r="H12" s="9" t="s">
        <v>39</v>
      </c>
      <c r="I12" s="11">
        <f t="shared" si="0"/>
        <v>15.5</v>
      </c>
      <c r="J12" s="11">
        <f t="shared" si="1"/>
        <v>2.5</v>
      </c>
      <c r="K12" s="7">
        <v>0</v>
      </c>
      <c r="L12" s="7" t="s">
        <v>40</v>
      </c>
      <c r="M12" s="8" t="s">
        <v>36</v>
      </c>
      <c r="N12" s="12" t="s">
        <v>37</v>
      </c>
      <c r="O12" s="13" t="s">
        <v>41</v>
      </c>
      <c r="P12" s="12" t="s">
        <v>42</v>
      </c>
      <c r="Q12" s="11">
        <f t="shared" si="2"/>
        <v>14.875</v>
      </c>
      <c r="R12" s="11">
        <f t="shared" si="3"/>
        <v>2.5</v>
      </c>
      <c r="U12">
        <v>6</v>
      </c>
      <c r="V12">
        <v>0</v>
      </c>
      <c r="W12">
        <v>3.5</v>
      </c>
      <c r="X12">
        <v>0</v>
      </c>
    </row>
    <row r="13" spans="1:24" ht="45.75" customHeight="1" x14ac:dyDescent="0.45">
      <c r="A13" s="7">
        <v>6</v>
      </c>
      <c r="B13" s="7" t="s">
        <v>43</v>
      </c>
      <c r="C13" s="7">
        <v>0</v>
      </c>
      <c r="D13" s="7">
        <v>5</v>
      </c>
      <c r="E13" s="8" t="s">
        <v>36</v>
      </c>
      <c r="F13" s="9" t="s">
        <v>25</v>
      </c>
      <c r="G13" s="10" t="s">
        <v>38</v>
      </c>
      <c r="H13" s="9" t="s">
        <v>44</v>
      </c>
      <c r="I13" s="11">
        <f t="shared" si="0"/>
        <v>17</v>
      </c>
      <c r="J13" s="11">
        <f t="shared" si="1"/>
        <v>2.5</v>
      </c>
      <c r="K13" s="7">
        <v>0</v>
      </c>
      <c r="L13" s="7" t="s">
        <v>45</v>
      </c>
      <c r="M13" s="8" t="s">
        <v>36</v>
      </c>
      <c r="N13" s="12" t="s">
        <v>25</v>
      </c>
      <c r="O13" s="13" t="s">
        <v>41</v>
      </c>
      <c r="P13" s="12" t="s">
        <v>46</v>
      </c>
      <c r="Q13" s="11">
        <f t="shared" si="2"/>
        <v>15.75</v>
      </c>
      <c r="R13" s="11">
        <f t="shared" si="3"/>
        <v>2.5</v>
      </c>
      <c r="U13">
        <v>6</v>
      </c>
      <c r="V13">
        <v>0</v>
      </c>
      <c r="W13">
        <v>3.5</v>
      </c>
      <c r="X13">
        <v>0</v>
      </c>
    </row>
    <row r="14" spans="1:24" ht="45.75" customHeight="1" x14ac:dyDescent="0.45">
      <c r="A14" s="7">
        <v>7</v>
      </c>
      <c r="B14" s="7" t="s">
        <v>47</v>
      </c>
      <c r="C14" s="7">
        <v>0</v>
      </c>
      <c r="D14" s="7">
        <v>5</v>
      </c>
      <c r="E14" s="8" t="s">
        <v>36</v>
      </c>
      <c r="F14" s="9" t="s">
        <v>25</v>
      </c>
      <c r="G14" s="10" t="s">
        <v>38</v>
      </c>
      <c r="H14" s="9" t="s">
        <v>48</v>
      </c>
      <c r="I14" s="11">
        <f t="shared" si="0"/>
        <v>18.5</v>
      </c>
      <c r="J14" s="11">
        <f t="shared" si="1"/>
        <v>2.5</v>
      </c>
      <c r="K14" s="7">
        <v>0</v>
      </c>
      <c r="L14" s="7" t="s">
        <v>49</v>
      </c>
      <c r="M14" s="8" t="s">
        <v>36</v>
      </c>
      <c r="N14" s="12" t="s">
        <v>25</v>
      </c>
      <c r="O14" s="13" t="s">
        <v>41</v>
      </c>
      <c r="P14" s="12" t="s">
        <v>50</v>
      </c>
      <c r="Q14" s="11">
        <f t="shared" si="2"/>
        <v>16.625</v>
      </c>
      <c r="R14" s="11">
        <f t="shared" si="3"/>
        <v>2.5</v>
      </c>
      <c r="U14">
        <v>6</v>
      </c>
      <c r="V14">
        <v>0</v>
      </c>
      <c r="W14">
        <v>3.5</v>
      </c>
      <c r="X14">
        <v>0</v>
      </c>
    </row>
    <row r="15" spans="1:24" ht="45.75" customHeight="1" x14ac:dyDescent="0.45">
      <c r="A15" s="7">
        <v>8</v>
      </c>
      <c r="B15" s="7" t="s">
        <v>51</v>
      </c>
      <c r="C15" s="7">
        <v>0</v>
      </c>
      <c r="D15" s="7">
        <v>5</v>
      </c>
      <c r="E15" s="8" t="s">
        <v>36</v>
      </c>
      <c r="F15" s="9" t="s">
        <v>25</v>
      </c>
      <c r="G15" s="10" t="s">
        <v>52</v>
      </c>
      <c r="H15" s="9" t="s">
        <v>53</v>
      </c>
      <c r="I15" s="11">
        <f t="shared" si="0"/>
        <v>20</v>
      </c>
      <c r="J15" s="11">
        <f t="shared" si="1"/>
        <v>2.5</v>
      </c>
      <c r="K15" s="7">
        <v>0</v>
      </c>
      <c r="L15" s="7" t="s">
        <v>54</v>
      </c>
      <c r="M15" s="8" t="s">
        <v>36</v>
      </c>
      <c r="N15" s="12" t="s">
        <v>25</v>
      </c>
      <c r="O15" s="13" t="s">
        <v>41</v>
      </c>
      <c r="P15" s="12" t="s">
        <v>55</v>
      </c>
      <c r="Q15" s="11">
        <f t="shared" si="2"/>
        <v>17.5</v>
      </c>
      <c r="R15" s="11">
        <f t="shared" si="3"/>
        <v>2.5</v>
      </c>
      <c r="U15">
        <v>6</v>
      </c>
      <c r="V15">
        <v>0</v>
      </c>
      <c r="W15">
        <v>3.5</v>
      </c>
      <c r="X15">
        <v>0</v>
      </c>
    </row>
    <row r="16" spans="1:24" ht="45.75" customHeight="1" x14ac:dyDescent="0.45">
      <c r="A16" s="7">
        <v>9</v>
      </c>
      <c r="B16" s="7" t="s">
        <v>56</v>
      </c>
      <c r="C16" s="7">
        <v>0</v>
      </c>
      <c r="D16" s="7">
        <v>5</v>
      </c>
      <c r="E16" s="8" t="s">
        <v>36</v>
      </c>
      <c r="F16" s="9" t="s">
        <v>25</v>
      </c>
      <c r="G16" s="10" t="s">
        <v>57</v>
      </c>
      <c r="H16" s="9" t="s">
        <v>58</v>
      </c>
      <c r="I16" s="11">
        <f t="shared" si="0"/>
        <v>20</v>
      </c>
      <c r="J16" s="11">
        <f t="shared" si="1"/>
        <v>2.5</v>
      </c>
      <c r="K16" s="7">
        <v>0</v>
      </c>
      <c r="L16" s="7" t="s">
        <v>59</v>
      </c>
      <c r="M16" s="8" t="s">
        <v>36</v>
      </c>
      <c r="N16" s="12" t="s">
        <v>25</v>
      </c>
      <c r="O16" s="13" t="s">
        <v>41</v>
      </c>
      <c r="P16" s="12" t="s">
        <v>60</v>
      </c>
      <c r="Q16" s="11">
        <f t="shared" si="2"/>
        <v>18.375</v>
      </c>
      <c r="R16" s="11">
        <f t="shared" si="3"/>
        <v>2.5</v>
      </c>
      <c r="U16">
        <v>0</v>
      </c>
      <c r="V16">
        <v>0</v>
      </c>
      <c r="W16">
        <v>3.5</v>
      </c>
      <c r="X16">
        <v>0</v>
      </c>
    </row>
    <row r="17" spans="1:24" ht="45.75" customHeight="1" x14ac:dyDescent="0.45">
      <c r="A17" s="7">
        <v>10</v>
      </c>
      <c r="B17" s="7" t="s">
        <v>61</v>
      </c>
      <c r="C17" s="7">
        <v>0</v>
      </c>
      <c r="D17" s="7">
        <v>5</v>
      </c>
      <c r="E17" s="8" t="s">
        <v>36</v>
      </c>
      <c r="F17" s="9" t="s">
        <v>62</v>
      </c>
      <c r="G17" s="10" t="s">
        <v>63</v>
      </c>
      <c r="H17" s="9" t="s">
        <v>33</v>
      </c>
      <c r="I17" s="11">
        <f t="shared" si="0"/>
        <v>20</v>
      </c>
      <c r="J17" s="11">
        <f t="shared" si="1"/>
        <v>2.5</v>
      </c>
      <c r="K17" s="7">
        <v>0</v>
      </c>
      <c r="L17" s="7" t="s">
        <v>45</v>
      </c>
      <c r="M17" s="8" t="s">
        <v>36</v>
      </c>
      <c r="N17" s="12" t="s">
        <v>62</v>
      </c>
      <c r="O17" s="13" t="s">
        <v>63</v>
      </c>
      <c r="P17" s="12" t="s">
        <v>33</v>
      </c>
      <c r="Q17" s="11">
        <f t="shared" si="2"/>
        <v>18.375</v>
      </c>
      <c r="R17" s="11">
        <f t="shared" si="3"/>
        <v>2.5</v>
      </c>
      <c r="U17">
        <v>0</v>
      </c>
      <c r="V17">
        <v>0</v>
      </c>
      <c r="W17">
        <v>0</v>
      </c>
      <c r="X17">
        <v>0</v>
      </c>
    </row>
    <row r="18" spans="1:24" ht="45.75" customHeight="1" x14ac:dyDescent="0.45">
      <c r="A18" s="7">
        <v>11</v>
      </c>
      <c r="B18" s="7" t="s">
        <v>64</v>
      </c>
      <c r="C18" s="7">
        <v>0</v>
      </c>
      <c r="D18" s="7">
        <v>5</v>
      </c>
      <c r="E18" s="8" t="s">
        <v>65</v>
      </c>
      <c r="F18" s="9" t="s">
        <v>66</v>
      </c>
      <c r="G18" s="10" t="s">
        <v>67</v>
      </c>
      <c r="H18" s="9" t="s">
        <v>66</v>
      </c>
      <c r="I18" s="11">
        <f t="shared" si="0"/>
        <v>19</v>
      </c>
      <c r="J18" s="11">
        <f t="shared" si="1"/>
        <v>3.5</v>
      </c>
      <c r="K18" s="7">
        <v>0</v>
      </c>
      <c r="L18" s="7" t="s">
        <v>45</v>
      </c>
      <c r="M18" s="8" t="s">
        <v>65</v>
      </c>
      <c r="N18" s="12" t="s">
        <v>66</v>
      </c>
      <c r="O18" s="13" t="s">
        <v>67</v>
      </c>
      <c r="P18" s="12" t="s">
        <v>66</v>
      </c>
      <c r="Q18" s="11">
        <f t="shared" si="2"/>
        <v>17.375</v>
      </c>
      <c r="R18" s="11">
        <f t="shared" si="3"/>
        <v>3.5</v>
      </c>
      <c r="U18">
        <v>-4</v>
      </c>
      <c r="V18">
        <v>4</v>
      </c>
      <c r="W18">
        <v>-4</v>
      </c>
      <c r="X18">
        <v>4</v>
      </c>
    </row>
    <row r="19" spans="1:24" ht="45.75" customHeight="1" x14ac:dyDescent="0.45">
      <c r="A19" s="7">
        <v>12</v>
      </c>
      <c r="B19" s="7" t="s">
        <v>68</v>
      </c>
      <c r="C19" s="7">
        <v>0</v>
      </c>
      <c r="D19" s="7">
        <v>5</v>
      </c>
      <c r="E19" s="8" t="s">
        <v>65</v>
      </c>
      <c r="F19" s="9" t="s">
        <v>66</v>
      </c>
      <c r="G19" s="10" t="s">
        <v>67</v>
      </c>
      <c r="H19" s="9" t="s">
        <v>66</v>
      </c>
      <c r="I19" s="11">
        <f t="shared" si="0"/>
        <v>18</v>
      </c>
      <c r="J19" s="11">
        <f t="shared" si="1"/>
        <v>4.5</v>
      </c>
      <c r="K19" s="7">
        <v>0</v>
      </c>
      <c r="L19" s="7" t="s">
        <v>45</v>
      </c>
      <c r="M19" s="8" t="s">
        <v>65</v>
      </c>
      <c r="N19" s="12" t="s">
        <v>66</v>
      </c>
      <c r="O19" s="13" t="s">
        <v>67</v>
      </c>
      <c r="P19" s="12" t="s">
        <v>66</v>
      </c>
      <c r="Q19" s="11">
        <f t="shared" si="2"/>
        <v>16.375</v>
      </c>
      <c r="R19" s="11">
        <f t="shared" si="3"/>
        <v>4.5</v>
      </c>
      <c r="U19">
        <v>-4</v>
      </c>
      <c r="V19">
        <v>4</v>
      </c>
      <c r="W19">
        <v>-4</v>
      </c>
      <c r="X19">
        <v>4</v>
      </c>
    </row>
    <row r="20" spans="1:24" ht="45.75" customHeight="1" x14ac:dyDescent="0.45">
      <c r="A20" s="7">
        <v>13</v>
      </c>
      <c r="B20" s="7" t="s">
        <v>69</v>
      </c>
      <c r="C20" s="7">
        <v>0</v>
      </c>
      <c r="D20" s="7">
        <v>5</v>
      </c>
      <c r="E20" s="8" t="s">
        <v>70</v>
      </c>
      <c r="F20" s="9" t="s">
        <v>71</v>
      </c>
      <c r="G20" s="10" t="s">
        <v>72</v>
      </c>
      <c r="H20" s="9" t="s">
        <v>73</v>
      </c>
      <c r="I20" s="11">
        <f t="shared" si="0"/>
        <v>18</v>
      </c>
      <c r="J20" s="11">
        <f t="shared" si="1"/>
        <v>4.5</v>
      </c>
      <c r="K20" s="7">
        <v>0</v>
      </c>
      <c r="L20" s="7" t="s">
        <v>45</v>
      </c>
      <c r="M20" s="8" t="s">
        <v>70</v>
      </c>
      <c r="N20" s="12" t="s">
        <v>71</v>
      </c>
      <c r="O20" s="13" t="s">
        <v>72</v>
      </c>
      <c r="P20" s="12" t="s">
        <v>74</v>
      </c>
      <c r="Q20" s="11">
        <f t="shared" si="2"/>
        <v>16.375</v>
      </c>
      <c r="R20" s="11">
        <f t="shared" si="3"/>
        <v>4.5</v>
      </c>
      <c r="U20">
        <v>0</v>
      </c>
      <c r="V20">
        <v>0</v>
      </c>
      <c r="W20">
        <v>0</v>
      </c>
      <c r="X20">
        <v>0</v>
      </c>
    </row>
    <row r="22" spans="1:24" x14ac:dyDescent="0.45">
      <c r="A22" s="14" t="s">
        <v>75</v>
      </c>
      <c r="F22" s="15">
        <f>MAX(U8:U20)</f>
        <v>6</v>
      </c>
    </row>
    <row r="23" spans="1:24" x14ac:dyDescent="0.45">
      <c r="A23" s="14" t="s">
        <v>76</v>
      </c>
      <c r="F23" s="15">
        <f>MAX(W8:W20)</f>
        <v>3.5</v>
      </c>
    </row>
    <row r="24" spans="1:24" x14ac:dyDescent="0.45">
      <c r="A24" s="14" t="s">
        <v>77</v>
      </c>
      <c r="F24" s="15">
        <f>I20</f>
        <v>18</v>
      </c>
    </row>
    <row r="25" spans="1:24" x14ac:dyDescent="0.45">
      <c r="A25" s="14" t="s">
        <v>78</v>
      </c>
      <c r="F25" s="15">
        <f>Q20</f>
        <v>16.375</v>
      </c>
    </row>
    <row r="26" spans="1:24" x14ac:dyDescent="0.45">
      <c r="A26" s="14" t="s">
        <v>79</v>
      </c>
      <c r="F26" s="15">
        <f>J20</f>
        <v>4.5</v>
      </c>
    </row>
    <row r="27" spans="1:24" x14ac:dyDescent="0.45">
      <c r="A27" s="14" t="s">
        <v>80</v>
      </c>
      <c r="F27" s="15">
        <f>R20</f>
        <v>4.5</v>
      </c>
    </row>
  </sheetData>
  <mergeCells count="4">
    <mergeCell ref="A1:R1"/>
    <mergeCell ref="A2:R4"/>
    <mergeCell ref="C6:J6"/>
    <mergeCell ref="K6:R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25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100" customWidth="1"/>
  </cols>
  <sheetData>
    <row r="1" spans="2:2" ht="21.75" customHeight="1" x14ac:dyDescent="0.45">
      <c r="B1" s="16" t="s">
        <v>81</v>
      </c>
    </row>
    <row r="3" spans="2:2" ht="15" customHeight="1" x14ac:dyDescent="0.45">
      <c r="B3" s="17" t="s">
        <v>82</v>
      </c>
    </row>
    <row r="4" spans="2:2" ht="60" customHeight="1" x14ac:dyDescent="0.45">
      <c r="B4" s="18" t="s">
        <v>83</v>
      </c>
    </row>
    <row r="6" spans="2:2" ht="15" customHeight="1" x14ac:dyDescent="0.45">
      <c r="B6" s="17" t="s">
        <v>84</v>
      </c>
    </row>
    <row r="7" spans="2:2" ht="45" customHeight="1" x14ac:dyDescent="0.45">
      <c r="B7" s="18" t="s">
        <v>85</v>
      </c>
    </row>
    <row r="9" spans="2:2" ht="15" customHeight="1" x14ac:dyDescent="0.45">
      <c r="B9" s="17" t="s">
        <v>86</v>
      </c>
    </row>
    <row r="10" spans="2:2" ht="75" customHeight="1" x14ac:dyDescent="0.45">
      <c r="B10" s="18" t="s">
        <v>87</v>
      </c>
    </row>
    <row r="12" spans="2:2" ht="15" customHeight="1" x14ac:dyDescent="0.45">
      <c r="B12" s="17" t="s">
        <v>88</v>
      </c>
    </row>
    <row r="13" spans="2:2" ht="60" customHeight="1" x14ac:dyDescent="0.45">
      <c r="B13" s="18" t="s">
        <v>89</v>
      </c>
    </row>
    <row r="15" spans="2:2" ht="15" customHeight="1" x14ac:dyDescent="0.45">
      <c r="B15" s="17" t="s">
        <v>90</v>
      </c>
    </row>
    <row r="16" spans="2:2" ht="90" customHeight="1" x14ac:dyDescent="0.45">
      <c r="B16" s="18" t="s">
        <v>91</v>
      </c>
    </row>
    <row r="18" spans="2:2" ht="15" customHeight="1" x14ac:dyDescent="0.45">
      <c r="B18" s="17" t="s">
        <v>92</v>
      </c>
    </row>
    <row r="19" spans="2:2" ht="120" customHeight="1" x14ac:dyDescent="0.45">
      <c r="B19" s="18" t="s">
        <v>93</v>
      </c>
    </row>
    <row r="21" spans="2:2" ht="15" customHeight="1" x14ac:dyDescent="0.45">
      <c r="B21" s="17" t="s">
        <v>94</v>
      </c>
    </row>
    <row r="22" spans="2:2" ht="90" customHeight="1" x14ac:dyDescent="0.45">
      <c r="B22" s="18" t="s">
        <v>95</v>
      </c>
    </row>
    <row r="24" spans="2:2" ht="15" customHeight="1" x14ac:dyDescent="0.45">
      <c r="B24" s="19" t="s">
        <v>96</v>
      </c>
    </row>
    <row r="25" spans="2:2" ht="105" customHeight="1" x14ac:dyDescent="0.45">
      <c r="B25" s="18" t="s">
        <v>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Worked Example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Shubhan Mital</cp:lastModifiedBy>
  <cp:revision>0</cp:revision>
  <dcterms:created xsi:type="dcterms:W3CDTF">2026-09-01T02:56:58Z</dcterms:created>
  <dcterms:modified xsi:type="dcterms:W3CDTF">2026-09-01T03:06:20Z</dcterms:modified>
  <dc:language>en-US</dc:language>
</cp:coreProperties>
</file>